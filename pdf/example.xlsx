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af02111d8e20ab/NAUKOWE/artykuły moje/"/>
    </mc:Choice>
  </mc:AlternateContent>
  <xr:revisionPtr revIDLastSave="0" documentId="8_{7BE20A40-68CF-465B-AF17-B405CE3EF787}" xr6:coauthVersionLast="47" xr6:coauthVersionMax="47" xr10:uidLastSave="{00000000-0000-0000-0000-000000000000}"/>
  <bookViews>
    <workbookView xWindow="-108" yWindow="-108" windowWidth="23256" windowHeight="12456" xr2:uid="{68AEF1C1-21DA-433A-8603-A205D1AF8400}"/>
  </bookViews>
  <sheets>
    <sheet name="Arkusz1" sheetId="1" r:id="rId1"/>
    <sheet name="Arkusz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N31" i="1"/>
  <c r="O31" i="1"/>
  <c r="P31" i="1"/>
  <c r="Q31" i="1"/>
  <c r="L31" i="1"/>
  <c r="M30" i="1"/>
  <c r="N30" i="1"/>
  <c r="O30" i="1"/>
  <c r="P30" i="1"/>
  <c r="P32" i="1" s="1"/>
  <c r="Q30" i="1"/>
  <c r="L30" i="1"/>
  <c r="J30" i="1"/>
  <c r="I30" i="1"/>
  <c r="D30" i="1"/>
  <c r="D29" i="1"/>
  <c r="I31" i="1"/>
  <c r="I29" i="1"/>
  <c r="M29" i="1"/>
  <c r="N29" i="1"/>
  <c r="O29" i="1"/>
  <c r="P29" i="1"/>
  <c r="Q29" i="1"/>
  <c r="L29" i="1"/>
  <c r="K8" i="1"/>
  <c r="K9" i="1"/>
  <c r="K10" i="1"/>
  <c r="K11" i="1"/>
  <c r="K12" i="1"/>
  <c r="K13" i="1"/>
  <c r="K14" i="1"/>
  <c r="K15" i="1"/>
  <c r="K16" i="1"/>
  <c r="K17" i="1"/>
  <c r="K19" i="1"/>
  <c r="K20" i="1"/>
  <c r="K21" i="1"/>
  <c r="K22" i="1"/>
  <c r="K23" i="1"/>
  <c r="K24" i="1"/>
  <c r="K25" i="1"/>
  <c r="K26" i="1"/>
  <c r="K27" i="1"/>
  <c r="K28" i="1"/>
  <c r="K7" i="1"/>
  <c r="J19" i="1"/>
  <c r="J18" i="1"/>
  <c r="K18" i="1" s="1"/>
  <c r="V9" i="1" s="1"/>
  <c r="J17" i="1"/>
  <c r="V7" i="1" l="1"/>
  <c r="J31" i="1"/>
  <c r="N33" i="1" s="1"/>
  <c r="J29" i="1"/>
  <c r="Q34" i="1" s="1"/>
  <c r="M33" i="1"/>
  <c r="L33" i="1"/>
  <c r="Q33" i="1"/>
  <c r="P33" i="1"/>
  <c r="Q32" i="1"/>
  <c r="O32" i="1"/>
  <c r="N32" i="1"/>
  <c r="V8" i="1"/>
  <c r="M32" i="1"/>
  <c r="L32" i="1"/>
  <c r="L34" i="1" l="1"/>
  <c r="O34" i="1"/>
  <c r="P34" i="1"/>
  <c r="N34" i="1"/>
  <c r="M34" i="1"/>
  <c r="O33" i="1"/>
</calcChain>
</file>

<file path=xl/sharedStrings.xml><?xml version="1.0" encoding="utf-8"?>
<sst xmlns="http://schemas.openxmlformats.org/spreadsheetml/2006/main" count="173" uniqueCount="81">
  <si>
    <t>Liczba odwzorowań</t>
  </si>
  <si>
    <t>Typy błedów u badanych</t>
  </si>
  <si>
    <t>Lp.</t>
  </si>
  <si>
    <t>Nr osoby badanej</t>
  </si>
  <si>
    <t>Data</t>
  </si>
  <si>
    <t>Płeć K/M</t>
  </si>
  <si>
    <t>Wiek</t>
  </si>
  <si>
    <t>Prawo/lewo ręczny</t>
  </si>
  <si>
    <t>Wada wzroku tak/nie</t>
  </si>
  <si>
    <t>Imię i Nazwisko</t>
  </si>
  <si>
    <t>Poprawne</t>
  </si>
  <si>
    <t>Błędne</t>
  </si>
  <si>
    <t>Informacje</t>
  </si>
  <si>
    <t>Pominięcie</t>
  </si>
  <si>
    <t>Zniekształcenie</t>
  </si>
  <si>
    <t>Perseweracje</t>
  </si>
  <si>
    <t>Rotacje</t>
  </si>
  <si>
    <t>Przemieszczenie</t>
  </si>
  <si>
    <t>Błędy względnej wielkości</t>
  </si>
  <si>
    <t>uwagi</t>
  </si>
  <si>
    <t>Ilość</t>
  </si>
  <si>
    <t>P001</t>
  </si>
  <si>
    <t>M</t>
  </si>
  <si>
    <t>prawo ręczny</t>
  </si>
  <si>
    <t xml:space="preserve">tak </t>
  </si>
  <si>
    <t>Wojtek</t>
  </si>
  <si>
    <t>rozpoczął terapię 09.2022</t>
  </si>
  <si>
    <t>niskie ryzyko dysleksji</t>
  </si>
  <si>
    <t>niskie ryzyko zaburzeń percepcji wzrokowej</t>
  </si>
  <si>
    <t>P002</t>
  </si>
  <si>
    <t>K</t>
  </si>
  <si>
    <t>nie</t>
  </si>
  <si>
    <t>Oktawia</t>
  </si>
  <si>
    <t>przecietny poziom zaburzenia</t>
  </si>
  <si>
    <t>przeciętny poziom zaburzeń percepcji wzrokowej</t>
  </si>
  <si>
    <t>P003</t>
  </si>
  <si>
    <t>Hania</t>
  </si>
  <si>
    <t>wysoki poziom zaburzenia</t>
  </si>
  <si>
    <t>wysoki poziom zaburzeń percepcji wzrokowej</t>
  </si>
  <si>
    <t>P004</t>
  </si>
  <si>
    <t>Maja</t>
  </si>
  <si>
    <t>P005</t>
  </si>
  <si>
    <t>Ignacy</t>
  </si>
  <si>
    <t>bez terapii</t>
  </si>
  <si>
    <t>P006</t>
  </si>
  <si>
    <t>lewo ręczny</t>
  </si>
  <si>
    <t>Tymon</t>
  </si>
  <si>
    <t>P007</t>
  </si>
  <si>
    <t>Filip</t>
  </si>
  <si>
    <t xml:space="preserve">bez terapii ale uczestniczy w zajęciach koordynujących i muzycznych </t>
  </si>
  <si>
    <t>P008</t>
  </si>
  <si>
    <t>Arek</t>
  </si>
  <si>
    <t>P009</t>
  </si>
  <si>
    <t xml:space="preserve">Wiktor </t>
  </si>
  <si>
    <t>P010</t>
  </si>
  <si>
    <t>Kinga</t>
  </si>
  <si>
    <t>13/3/2024</t>
  </si>
  <si>
    <t>zakończył terapię dysleksji (typ dysleksja wzrokowa)</t>
  </si>
  <si>
    <t xml:space="preserve">tak - duża wada </t>
  </si>
  <si>
    <t>Szymon</t>
  </si>
  <si>
    <t>Zuzia</t>
  </si>
  <si>
    <t>Nikola</t>
  </si>
  <si>
    <t>Kacper</t>
  </si>
  <si>
    <t>Liliana</t>
  </si>
  <si>
    <t>Adela</t>
  </si>
  <si>
    <t>P011</t>
  </si>
  <si>
    <t>Kuba</t>
  </si>
  <si>
    <t>P012</t>
  </si>
  <si>
    <t>Pola</t>
  </si>
  <si>
    <t>Ilość K</t>
  </si>
  <si>
    <t>Suma</t>
  </si>
  <si>
    <t>Ilość M</t>
  </si>
  <si>
    <t>Suma I tura</t>
  </si>
  <si>
    <t>Suma dla II tury</t>
  </si>
  <si>
    <t>I tura informacje o ilośc % błedów</t>
  </si>
  <si>
    <t>II tura informacje o ilośc % błedów</t>
  </si>
  <si>
    <t>informacje ile % stanowią dane typy błedów dla wszytskich wyników</t>
  </si>
  <si>
    <t>Zakres</t>
  </si>
  <si>
    <t>1-5</t>
  </si>
  <si>
    <t>6-7</t>
  </si>
  <si>
    <t>8&gt;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</si>
</sst>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</font>
    <font>
      <sz val="11"/>
      <color rgb="FF9C0006"/>
      <name val="Calibri"/>
      <family val="2"/>
      <charset val="238"/>
    </font>
    <font>
      <sz val="11"/>
      <color rgb="FF3F3F76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2" applyNumberFormat="0" applyAlignment="0" applyProtection="0"/>
    <xf numFmtId="0" fontId="1" fillId="6" borderId="0" applyNumberFormat="0" applyBorder="0" applyAlignment="0" applyProtection="0"/>
  </cellStyleXfs>
  <cellXfs count="65">
    <xf numFmtId="0" fontId="0" fillId="0" borderId="0" xfId="0"/>
    <xf numFmtId="14" fontId="0" fillId="0" borderId="0" xfId="0" applyNumberFormat="1"/>
    <xf numFmtId="0" fontId="0" fillId="0" borderId="1" xfId="0" applyBorder="1"/>
    <xf numFmtId="1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5" xfId="0" applyFont="1" applyFill="1" applyBorder="1" applyAlignment="1">
      <alignment horizontal="center" vertical="center"/>
    </xf>
    <xf numFmtId="0" fontId="9" fillId="6" borderId="1" xfId="5" applyFont="1" applyBorder="1"/>
    <xf numFmtId="0" fontId="5" fillId="3" borderId="1" xfId="2" quotePrefix="1" applyBorder="1"/>
    <xf numFmtId="0" fontId="5" fillId="3" borderId="1" xfId="2" applyBorder="1"/>
    <xf numFmtId="49" fontId="7" fillId="5" borderId="2" xfId="4" applyNumberFormat="1"/>
    <xf numFmtId="0" fontId="7" fillId="5" borderId="2" xfId="4"/>
    <xf numFmtId="0" fontId="6" fillId="4" borderId="1" xfId="3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quotePrefix="1" applyBorder="1" applyAlignment="1">
      <alignment horizontal="left" vertical="center"/>
    </xf>
    <xf numFmtId="0" fontId="5" fillId="3" borderId="5" xfId="2" applyBorder="1"/>
    <xf numFmtId="0" fontId="7" fillId="5" borderId="7" xfId="4" applyBorder="1"/>
    <xf numFmtId="0" fontId="6" fillId="4" borderId="5" xfId="3" applyBorder="1"/>
    <xf numFmtId="9" fontId="0" fillId="0" borderId="1" xfId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right" wrapText="1" indent="1"/>
    </xf>
    <xf numFmtId="0" fontId="10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3" xfId="0" applyBorder="1"/>
    <xf numFmtId="14" fontId="0" fillId="0" borderId="3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8" borderId="9" xfId="0" applyFont="1" applyFill="1" applyBorder="1" applyAlignment="1">
      <alignment horizontal="right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1" borderId="0" xfId="0" applyFill="1"/>
    <xf numFmtId="0" fontId="0" fillId="10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0" fillId="8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</cellXfs>
  <cellStyles count="6">
    <cellStyle name="40% — akcent 3" xfId="5" builtinId="39"/>
    <cellStyle name="Dane wejściowe" xfId="4" builtinId="20"/>
    <cellStyle name="Dobry" xfId="2" builtinId="26"/>
    <cellStyle name="Normalny" xfId="0" builtinId="0"/>
    <cellStyle name="Procentowy" xfId="1" builtinId="5"/>
    <cellStyle name="Zły" xfId="3" builtinId="27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7CC7-C10D-43E1-AF00-D7CB12C7F807}">
  <dimension ref="A2:W34"/>
  <sheetViews>
    <sheetView tabSelected="1" topLeftCell="L4" zoomScaleNormal="100" workbookViewId="0">
      <selection activeCell="W6" sqref="W6"/>
    </sheetView>
  </sheetViews>
  <sheetFormatPr defaultRowHeight="14.45"/>
  <cols>
    <col min="2" max="2" width="16.5703125" bestFit="1" customWidth="1"/>
    <col min="3" max="3" width="10.5703125" bestFit="1" customWidth="1"/>
    <col min="4" max="4" width="9" bestFit="1" customWidth="1"/>
    <col min="6" max="6" width="18.28515625" bestFit="1" customWidth="1"/>
    <col min="7" max="7" width="20.140625" bestFit="1" customWidth="1"/>
    <col min="8" max="8" width="15" bestFit="1" customWidth="1"/>
    <col min="9" max="9" width="11.7109375" customWidth="1"/>
    <col min="10" max="10" width="12.85546875" customWidth="1"/>
    <col min="11" max="11" width="27.5703125" customWidth="1"/>
    <col min="12" max="12" width="11" bestFit="1" customWidth="1"/>
    <col min="13" max="13" width="14.85546875" bestFit="1" customWidth="1"/>
    <col min="14" max="14" width="13.140625" bestFit="1" customWidth="1"/>
    <col min="15" max="15" width="7.5703125" bestFit="1" customWidth="1"/>
    <col min="16" max="16" width="15.85546875" bestFit="1" customWidth="1"/>
    <col min="17" max="17" width="24.7109375" bestFit="1" customWidth="1"/>
    <col min="18" max="18" width="25.42578125" customWidth="1"/>
    <col min="20" max="20" width="10.5703125" bestFit="1" customWidth="1"/>
    <col min="21" max="21" width="27.85546875" customWidth="1"/>
    <col min="23" max="23" width="34.5703125" customWidth="1"/>
  </cols>
  <sheetData>
    <row r="2" spans="1:23">
      <c r="C2" s="1"/>
      <c r="L2" s="3"/>
      <c r="M2" s="3"/>
      <c r="N2" s="3"/>
      <c r="O2" s="3"/>
      <c r="P2" s="3"/>
      <c r="Q2" s="3"/>
    </row>
    <row r="5" spans="1:23">
      <c r="I5" s="63" t="s">
        <v>0</v>
      </c>
      <c r="J5" s="63"/>
      <c r="L5" s="64" t="s">
        <v>1</v>
      </c>
      <c r="M5" s="64"/>
      <c r="N5" s="64"/>
      <c r="O5" s="64"/>
      <c r="P5" s="64"/>
      <c r="Q5" s="64"/>
    </row>
    <row r="6" spans="1:23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6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19" t="s">
        <v>19</v>
      </c>
      <c r="U6" s="7" t="s">
        <v>12</v>
      </c>
      <c r="V6" s="7" t="s">
        <v>20</v>
      </c>
    </row>
    <row r="7" spans="1:23">
      <c r="A7" s="2">
        <v>1</v>
      </c>
      <c r="B7" s="13" t="s">
        <v>21</v>
      </c>
      <c r="C7" s="14">
        <v>44904</v>
      </c>
      <c r="D7" s="13" t="s">
        <v>22</v>
      </c>
      <c r="E7" s="13">
        <v>9</v>
      </c>
      <c r="F7" s="13" t="s">
        <v>23</v>
      </c>
      <c r="G7" s="32" t="s">
        <v>24</v>
      </c>
      <c r="H7" s="34" t="s">
        <v>25</v>
      </c>
      <c r="I7" s="13">
        <v>4</v>
      </c>
      <c r="J7" s="13">
        <v>6</v>
      </c>
      <c r="K7" s="17" t="str">
        <f>IF(AND(J7&gt;0,J7&lt;=5),Arkusz2!$C$4,IF(AND(Arkusz1!J7&gt;=6,Arkusz1!J7&lt;=7),Arkusz2!$C$5,Arkusz2!$C$6))</f>
        <v>przecietny poziom zaburzenia</v>
      </c>
      <c r="L7" s="13">
        <v>0</v>
      </c>
      <c r="M7" s="13">
        <v>0</v>
      </c>
      <c r="N7" s="13">
        <v>2</v>
      </c>
      <c r="O7" s="13">
        <v>2</v>
      </c>
      <c r="P7" s="13">
        <v>2</v>
      </c>
      <c r="Q7" s="13">
        <v>0</v>
      </c>
      <c r="R7" s="56" t="s">
        <v>26</v>
      </c>
      <c r="U7" s="23" t="s">
        <v>27</v>
      </c>
      <c r="V7" s="13">
        <f>COUNTIF($K$7:$K$28,U7)</f>
        <v>12</v>
      </c>
      <c r="W7" s="55" t="s">
        <v>28</v>
      </c>
    </row>
    <row r="8" spans="1:23">
      <c r="A8" s="2">
        <v>2</v>
      </c>
      <c r="B8" s="13" t="s">
        <v>29</v>
      </c>
      <c r="C8" s="14">
        <v>44904</v>
      </c>
      <c r="D8" s="13" t="s">
        <v>30</v>
      </c>
      <c r="E8" s="13">
        <v>9</v>
      </c>
      <c r="F8" s="13" t="s">
        <v>23</v>
      </c>
      <c r="G8" s="13" t="s">
        <v>31</v>
      </c>
      <c r="H8" s="13" t="s">
        <v>32</v>
      </c>
      <c r="I8" s="13">
        <v>8</v>
      </c>
      <c r="J8" s="13">
        <v>2</v>
      </c>
      <c r="K8" s="17" t="str">
        <f>IF(AND(J8&gt;0,J8&lt;=5),Arkusz2!$C$4,IF(AND(Arkusz1!J8&gt;=6,Arkusz1!J8&lt;=7),Arkusz2!$C$5,Arkusz2!$C$6))</f>
        <v>niskie ryzyko dysleksji</v>
      </c>
      <c r="L8" s="13">
        <v>0</v>
      </c>
      <c r="M8" s="13">
        <v>1</v>
      </c>
      <c r="N8" s="13">
        <v>0</v>
      </c>
      <c r="O8" s="13">
        <v>0</v>
      </c>
      <c r="P8" s="13">
        <v>0</v>
      </c>
      <c r="Q8" s="13">
        <v>1</v>
      </c>
      <c r="R8" s="18"/>
      <c r="U8" s="24" t="s">
        <v>33</v>
      </c>
      <c r="V8" s="13">
        <f t="shared" ref="V8:V9" si="0">COUNTIF($K$7:$K$28,U8)</f>
        <v>7</v>
      </c>
      <c r="W8" s="55" t="s">
        <v>34</v>
      </c>
    </row>
    <row r="9" spans="1:23">
      <c r="A9" s="2">
        <v>3</v>
      </c>
      <c r="B9" s="13" t="s">
        <v>35</v>
      </c>
      <c r="C9" s="14">
        <v>44904</v>
      </c>
      <c r="D9" s="13" t="s">
        <v>30</v>
      </c>
      <c r="E9" s="13">
        <v>9</v>
      </c>
      <c r="F9" s="13" t="s">
        <v>23</v>
      </c>
      <c r="G9" s="13" t="s">
        <v>31</v>
      </c>
      <c r="H9" s="13" t="s">
        <v>36</v>
      </c>
      <c r="I9" s="13">
        <v>8</v>
      </c>
      <c r="J9" s="13">
        <v>2</v>
      </c>
      <c r="K9" s="17" t="str">
        <f>IF(AND(J9&gt;0,J9&lt;=5),Arkusz2!$C$4,IF(AND(Arkusz1!J9&gt;=6,Arkusz1!J9&lt;=7),Arkusz2!$C$5,Arkusz2!$C$6))</f>
        <v>niskie ryzyko dysleksji</v>
      </c>
      <c r="L9" s="13">
        <v>0</v>
      </c>
      <c r="M9" s="13">
        <v>0</v>
      </c>
      <c r="N9" s="13">
        <v>0</v>
      </c>
      <c r="O9" s="13">
        <v>1</v>
      </c>
      <c r="P9" s="13">
        <v>1</v>
      </c>
      <c r="Q9" s="13">
        <v>0</v>
      </c>
      <c r="R9" s="18"/>
      <c r="U9" s="25" t="s">
        <v>37</v>
      </c>
      <c r="V9" s="13">
        <f t="shared" si="0"/>
        <v>3</v>
      </c>
      <c r="W9" s="55" t="s">
        <v>38</v>
      </c>
    </row>
    <row r="10" spans="1:23">
      <c r="A10" s="2">
        <v>4</v>
      </c>
      <c r="B10" s="13" t="s">
        <v>39</v>
      </c>
      <c r="C10" s="14">
        <v>44904</v>
      </c>
      <c r="D10" s="13" t="s">
        <v>30</v>
      </c>
      <c r="E10" s="13">
        <v>9</v>
      </c>
      <c r="F10" s="13" t="s">
        <v>23</v>
      </c>
      <c r="G10" s="13" t="s">
        <v>31</v>
      </c>
      <c r="H10" s="13" t="s">
        <v>40</v>
      </c>
      <c r="I10" s="13">
        <v>5</v>
      </c>
      <c r="J10" s="13">
        <v>5</v>
      </c>
      <c r="K10" s="17" t="str">
        <f>IF(AND(J10&gt;0,J10&lt;=5),Arkusz2!$C$4,IF(AND(Arkusz1!J10&gt;=6,Arkusz1!J10&lt;=7),Arkusz2!$C$5,Arkusz2!$C$6))</f>
        <v>niskie ryzyko dysleksji</v>
      </c>
      <c r="L10" s="13">
        <v>0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8"/>
    </row>
    <row r="11" spans="1:23">
      <c r="A11" s="2">
        <v>5</v>
      </c>
      <c r="B11" s="13" t="s">
        <v>41</v>
      </c>
      <c r="C11" s="14">
        <v>44904</v>
      </c>
      <c r="D11" s="13" t="s">
        <v>22</v>
      </c>
      <c r="E11" s="13">
        <v>9</v>
      </c>
      <c r="F11" s="13" t="s">
        <v>23</v>
      </c>
      <c r="G11" s="13" t="s">
        <v>31</v>
      </c>
      <c r="H11" s="33" t="s">
        <v>42</v>
      </c>
      <c r="I11" s="13">
        <v>4</v>
      </c>
      <c r="J11" s="13">
        <v>6</v>
      </c>
      <c r="K11" s="17" t="str">
        <f>IF(AND(J11&gt;0,J11&lt;=5),Arkusz2!$C$4,IF(AND(Arkusz1!J11&gt;=6,Arkusz1!J11&lt;=7),Arkusz2!$C$5,Arkusz2!$C$6))</f>
        <v>przecietny poziom zaburzenia</v>
      </c>
      <c r="L11" s="13">
        <v>0</v>
      </c>
      <c r="M11" s="13">
        <v>4</v>
      </c>
      <c r="N11" s="13">
        <v>0</v>
      </c>
      <c r="O11" s="13">
        <v>0</v>
      </c>
      <c r="P11" s="13">
        <v>2</v>
      </c>
      <c r="Q11" s="13">
        <v>0</v>
      </c>
      <c r="R11" s="57" t="s">
        <v>43</v>
      </c>
    </row>
    <row r="12" spans="1:23">
      <c r="A12" s="2">
        <v>6</v>
      </c>
      <c r="B12" s="13" t="s">
        <v>44</v>
      </c>
      <c r="C12" s="14">
        <v>44904</v>
      </c>
      <c r="D12" s="13" t="s">
        <v>22</v>
      </c>
      <c r="E12" s="13">
        <v>9</v>
      </c>
      <c r="F12" s="13" t="s">
        <v>45</v>
      </c>
      <c r="G12" s="13" t="s">
        <v>31</v>
      </c>
      <c r="H12" s="13" t="s">
        <v>46</v>
      </c>
      <c r="I12" s="13">
        <v>3</v>
      </c>
      <c r="J12" s="13">
        <v>7</v>
      </c>
      <c r="K12" s="17" t="str">
        <f>IF(AND(J12&gt;0,J12&lt;=5),Arkusz2!$C$4,IF(AND(Arkusz1!J12&gt;=6,Arkusz1!J12&lt;=7),Arkusz2!$C$5,Arkusz2!$C$6))</f>
        <v>przecietny poziom zaburzenia</v>
      </c>
      <c r="L12" s="13">
        <v>0</v>
      </c>
      <c r="M12" s="13">
        <v>2</v>
      </c>
      <c r="N12" s="13">
        <v>1</v>
      </c>
      <c r="O12" s="13">
        <v>1</v>
      </c>
      <c r="P12" s="13">
        <v>2</v>
      </c>
      <c r="Q12" s="13">
        <v>2</v>
      </c>
      <c r="R12" s="18"/>
    </row>
    <row r="13" spans="1:23" ht="43.15">
      <c r="A13" s="2">
        <v>7</v>
      </c>
      <c r="B13" s="13" t="s">
        <v>47</v>
      </c>
      <c r="C13" s="14">
        <v>44904</v>
      </c>
      <c r="D13" s="13" t="s">
        <v>22</v>
      </c>
      <c r="E13" s="13">
        <v>9</v>
      </c>
      <c r="F13" s="13" t="s">
        <v>23</v>
      </c>
      <c r="G13" s="13" t="s">
        <v>31</v>
      </c>
      <c r="H13" s="35" t="s">
        <v>48</v>
      </c>
      <c r="I13" s="13">
        <v>4</v>
      </c>
      <c r="J13" s="13">
        <v>6</v>
      </c>
      <c r="K13" s="17" t="str">
        <f>IF(AND(J13&gt;0,J13&lt;=5),Arkusz2!$C$4,IF(AND(Arkusz1!J13&gt;=6,Arkusz1!J13&lt;=7),Arkusz2!$C$5,Arkusz2!$C$6))</f>
        <v>przecietny poziom zaburzenia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58" t="s">
        <v>49</v>
      </c>
    </row>
    <row r="14" spans="1:23">
      <c r="A14" s="2">
        <v>8</v>
      </c>
      <c r="B14" s="13" t="s">
        <v>50</v>
      </c>
      <c r="C14" s="14">
        <v>44904</v>
      </c>
      <c r="D14" s="13" t="s">
        <v>22</v>
      </c>
      <c r="E14" s="13">
        <v>9</v>
      </c>
      <c r="F14" s="13" t="s">
        <v>23</v>
      </c>
      <c r="G14" s="13" t="s">
        <v>31</v>
      </c>
      <c r="H14" s="60" t="s">
        <v>51</v>
      </c>
      <c r="I14" s="13">
        <v>1</v>
      </c>
      <c r="J14" s="13">
        <v>9</v>
      </c>
      <c r="K14" s="17" t="str">
        <f>IF(AND(J14&gt;0,J14&lt;=5),Arkusz2!$C$4,IF(AND(Arkusz1!J14&gt;=6,Arkusz1!J14&lt;=7),Arkusz2!$C$5,Arkusz2!$C$6))</f>
        <v>wysoki poziom zaburzenia</v>
      </c>
      <c r="L14" s="13">
        <v>2</v>
      </c>
      <c r="M14" s="13">
        <v>2</v>
      </c>
      <c r="N14" s="13">
        <v>2</v>
      </c>
      <c r="O14" s="13">
        <v>1</v>
      </c>
      <c r="P14" s="13">
        <v>1</v>
      </c>
      <c r="Q14" s="13">
        <v>1</v>
      </c>
      <c r="R14" s="61" t="s">
        <v>43</v>
      </c>
    </row>
    <row r="15" spans="1:23">
      <c r="A15" s="2">
        <v>9</v>
      </c>
      <c r="B15" s="13" t="s">
        <v>52</v>
      </c>
      <c r="C15" s="14">
        <v>44904</v>
      </c>
      <c r="D15" s="13" t="s">
        <v>30</v>
      </c>
      <c r="E15" s="13">
        <v>9</v>
      </c>
      <c r="F15" s="13" t="s">
        <v>23</v>
      </c>
      <c r="G15" s="13" t="s">
        <v>31</v>
      </c>
      <c r="H15" s="13" t="s">
        <v>53</v>
      </c>
      <c r="I15" s="13">
        <v>5</v>
      </c>
      <c r="J15" s="13">
        <v>5</v>
      </c>
      <c r="K15" s="17" t="str">
        <f>IF(AND(J15&gt;0,J15&lt;=5),Arkusz2!$C$4,IF(AND(Arkusz1!J15&gt;=6,Arkusz1!J15&lt;=7),Arkusz2!$C$5,Arkusz2!$C$6))</f>
        <v>niskie ryzyko dysleksji</v>
      </c>
      <c r="L15" s="13">
        <v>1</v>
      </c>
      <c r="M15" s="13">
        <v>1</v>
      </c>
      <c r="N15" s="13">
        <v>1</v>
      </c>
      <c r="O15" s="13">
        <v>1</v>
      </c>
      <c r="P15" s="13">
        <v>1</v>
      </c>
      <c r="Q15" s="13">
        <v>0</v>
      </c>
      <c r="R15" s="18"/>
    </row>
    <row r="16" spans="1:23" ht="15" thickBot="1">
      <c r="A16" s="38">
        <v>10</v>
      </c>
      <c r="B16" s="16" t="s">
        <v>54</v>
      </c>
      <c r="C16" s="39">
        <v>44904</v>
      </c>
      <c r="D16" s="16" t="s">
        <v>30</v>
      </c>
      <c r="E16" s="16">
        <v>9</v>
      </c>
      <c r="F16" s="16" t="s">
        <v>23</v>
      </c>
      <c r="G16" s="16" t="s">
        <v>31</v>
      </c>
      <c r="H16" s="16" t="s">
        <v>55</v>
      </c>
      <c r="I16" s="13">
        <v>1</v>
      </c>
      <c r="J16" s="13">
        <v>9</v>
      </c>
      <c r="K16" s="17" t="str">
        <f>IF(AND(J16&gt;0,J16&lt;=5),Arkusz2!$C$4,IF(AND(Arkusz1!J16&gt;=6,Arkusz1!J16&lt;=7),Arkusz2!$C$5,Arkusz2!$C$6))</f>
        <v>wysoki poziom zaburzenia</v>
      </c>
      <c r="L16" s="13">
        <v>2</v>
      </c>
      <c r="M16" s="13">
        <v>2</v>
      </c>
      <c r="N16" s="13">
        <v>2</v>
      </c>
      <c r="O16" s="13">
        <v>1</v>
      </c>
      <c r="P16" s="13">
        <v>2</v>
      </c>
      <c r="Q16" s="13">
        <v>0</v>
      </c>
      <c r="R16" s="18"/>
    </row>
    <row r="17" spans="1:18" ht="28.9">
      <c r="A17" s="43">
        <v>11</v>
      </c>
      <c r="B17" s="44" t="s">
        <v>21</v>
      </c>
      <c r="C17" s="45" t="s">
        <v>56</v>
      </c>
      <c r="D17" s="44" t="s">
        <v>22</v>
      </c>
      <c r="E17" s="44">
        <v>10</v>
      </c>
      <c r="F17" s="44" t="s">
        <v>23</v>
      </c>
      <c r="G17" s="44" t="s">
        <v>31</v>
      </c>
      <c r="H17" s="46" t="s">
        <v>25</v>
      </c>
      <c r="I17" s="36">
        <v>6</v>
      </c>
      <c r="J17" s="13">
        <f>10-I17</f>
        <v>4</v>
      </c>
      <c r="K17" s="17" t="str">
        <f>IF(AND(J17&gt;0,J17&lt;=5),Arkusz2!$C$4,IF(AND(Arkusz1!J17&gt;=6,Arkusz1!J17&lt;=7),Arkusz2!$C$5,Arkusz2!$C$6))</f>
        <v>niskie ryzyko dysleksji</v>
      </c>
      <c r="L17" s="13">
        <v>0</v>
      </c>
      <c r="M17" s="13">
        <v>0</v>
      </c>
      <c r="N17" s="13">
        <v>0</v>
      </c>
      <c r="O17" s="13">
        <v>2</v>
      </c>
      <c r="P17" s="13">
        <v>2</v>
      </c>
      <c r="Q17" s="13">
        <v>0</v>
      </c>
      <c r="R17" s="62" t="s">
        <v>57</v>
      </c>
    </row>
    <row r="18" spans="1:18">
      <c r="A18" s="47">
        <v>12</v>
      </c>
      <c r="B18" s="13" t="s">
        <v>29</v>
      </c>
      <c r="C18" s="14" t="s">
        <v>56</v>
      </c>
      <c r="D18" s="13" t="s">
        <v>22</v>
      </c>
      <c r="E18" s="13">
        <v>10</v>
      </c>
      <c r="F18" s="13" t="s">
        <v>23</v>
      </c>
      <c r="G18" s="13" t="s">
        <v>58</v>
      </c>
      <c r="H18" s="48" t="s">
        <v>59</v>
      </c>
      <c r="I18" s="36">
        <v>3</v>
      </c>
      <c r="J18" s="13">
        <f t="shared" ref="J18:J19" si="1">10-I18</f>
        <v>7</v>
      </c>
      <c r="K18" s="17" t="str">
        <f>IF(AND(J18&gt;0,J18&lt;=5),Arkusz2!$C$4,IF(AND(Arkusz1!J18&gt;=6,Arkusz1!J18&lt;=7),Arkusz2!$C$5,Arkusz2!$C$6))</f>
        <v>przecietny poziom zaburzenia</v>
      </c>
      <c r="L18" s="13">
        <v>0</v>
      </c>
      <c r="M18" s="13">
        <v>1</v>
      </c>
      <c r="N18" s="13">
        <v>1</v>
      </c>
      <c r="O18" s="13">
        <v>0</v>
      </c>
      <c r="P18" s="13">
        <v>0</v>
      </c>
      <c r="Q18" s="13">
        <v>1</v>
      </c>
      <c r="R18" s="18"/>
    </row>
    <row r="19" spans="1:18">
      <c r="A19" s="47">
        <v>13</v>
      </c>
      <c r="B19" s="13" t="s">
        <v>35</v>
      </c>
      <c r="C19" s="14" t="s">
        <v>56</v>
      </c>
      <c r="D19" s="13" t="s">
        <v>30</v>
      </c>
      <c r="E19" s="13">
        <v>10</v>
      </c>
      <c r="F19" s="13" t="s">
        <v>23</v>
      </c>
      <c r="G19" s="13" t="s">
        <v>31</v>
      </c>
      <c r="H19" s="48" t="s">
        <v>60</v>
      </c>
      <c r="I19" s="36">
        <v>8</v>
      </c>
      <c r="J19" s="13">
        <f t="shared" si="1"/>
        <v>2</v>
      </c>
      <c r="K19" s="17" t="str">
        <f>IF(AND(J19&gt;0,J19&lt;=5),Arkusz2!$C$4,IF(AND(Arkusz1!J19&gt;=6,Arkusz1!J19&lt;=7),Arkusz2!$C$5,Arkusz2!$C$6))</f>
        <v>niskie ryzyko dysleksji</v>
      </c>
      <c r="L19" s="13">
        <v>1</v>
      </c>
      <c r="M19" s="13">
        <v>0</v>
      </c>
      <c r="N19" s="13">
        <v>0</v>
      </c>
      <c r="O19" s="13">
        <v>0</v>
      </c>
      <c r="P19" s="13">
        <v>0</v>
      </c>
      <c r="Q19" s="13">
        <v>1</v>
      </c>
      <c r="R19" s="18"/>
    </row>
    <row r="20" spans="1:18">
      <c r="A20" s="47">
        <v>14</v>
      </c>
      <c r="B20" s="13" t="s">
        <v>39</v>
      </c>
      <c r="C20" s="14" t="s">
        <v>56</v>
      </c>
      <c r="D20" s="13" t="s">
        <v>30</v>
      </c>
      <c r="E20" s="13">
        <v>10</v>
      </c>
      <c r="F20" s="13" t="s">
        <v>23</v>
      </c>
      <c r="G20" s="13" t="s">
        <v>31</v>
      </c>
      <c r="H20" s="48" t="s">
        <v>61</v>
      </c>
      <c r="I20" s="36">
        <v>6</v>
      </c>
      <c r="J20" s="13">
        <v>4</v>
      </c>
      <c r="K20" s="17" t="str">
        <f>IF(AND(J20&gt;0,J20&lt;=5),Arkusz2!$C$4,IF(AND(Arkusz1!J20&gt;=6,Arkusz1!J20&lt;=7),Arkusz2!$C$5,Arkusz2!$C$6))</f>
        <v>niskie ryzyko dysleksji</v>
      </c>
      <c r="L20" s="13">
        <v>0</v>
      </c>
      <c r="M20" s="13">
        <v>0</v>
      </c>
      <c r="N20" s="13">
        <v>4</v>
      </c>
      <c r="O20" s="13">
        <v>0</v>
      </c>
      <c r="P20" s="13">
        <v>0</v>
      </c>
      <c r="Q20" s="13">
        <v>0</v>
      </c>
      <c r="R20" s="18"/>
    </row>
    <row r="21" spans="1:18">
      <c r="A21" s="47">
        <v>15</v>
      </c>
      <c r="B21" s="13" t="s">
        <v>41</v>
      </c>
      <c r="C21" s="14" t="s">
        <v>56</v>
      </c>
      <c r="D21" s="13" t="s">
        <v>22</v>
      </c>
      <c r="E21" s="13">
        <v>10</v>
      </c>
      <c r="F21" s="13" t="s">
        <v>23</v>
      </c>
      <c r="G21" s="13" t="s">
        <v>31</v>
      </c>
      <c r="H21" s="48" t="s">
        <v>62</v>
      </c>
      <c r="I21" s="36">
        <v>6</v>
      </c>
      <c r="J21" s="13">
        <v>4</v>
      </c>
      <c r="K21" s="17" t="str">
        <f>IF(AND(J21&gt;0,J21&lt;=5),Arkusz2!$C$4,IF(AND(Arkusz1!J21&gt;=6,Arkusz1!J21&lt;=7),Arkusz2!$C$5,Arkusz2!$C$6))</f>
        <v>niskie ryzyko dysleksji</v>
      </c>
      <c r="L21" s="13">
        <v>1</v>
      </c>
      <c r="M21" s="13">
        <v>3</v>
      </c>
      <c r="N21" s="13">
        <v>0</v>
      </c>
      <c r="O21" s="13">
        <v>0</v>
      </c>
      <c r="P21" s="13">
        <v>0</v>
      </c>
      <c r="Q21" s="13">
        <v>0</v>
      </c>
      <c r="R21" s="18"/>
    </row>
    <row r="22" spans="1:18">
      <c r="A22" s="47">
        <v>16</v>
      </c>
      <c r="B22" s="13" t="s">
        <v>44</v>
      </c>
      <c r="C22" s="14" t="s">
        <v>56</v>
      </c>
      <c r="D22" s="13" t="s">
        <v>22</v>
      </c>
      <c r="E22" s="13">
        <v>10</v>
      </c>
      <c r="F22" s="13" t="s">
        <v>23</v>
      </c>
      <c r="G22" s="13" t="s">
        <v>31</v>
      </c>
      <c r="H22" s="48" t="s">
        <v>63</v>
      </c>
      <c r="I22" s="36">
        <v>9</v>
      </c>
      <c r="J22" s="13">
        <v>1</v>
      </c>
      <c r="K22" s="17" t="str">
        <f>IF(AND(J22&gt;0,J22&lt;=5),Arkusz2!$C$4,IF(AND(Arkusz1!J22&gt;=6,Arkusz1!J22&lt;=7),Arkusz2!$C$5,Arkusz2!$C$6))</f>
        <v>niskie ryzyko dysleksji</v>
      </c>
      <c r="L22" s="13">
        <v>1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8"/>
    </row>
    <row r="23" spans="1:18">
      <c r="A23" s="47">
        <v>17</v>
      </c>
      <c r="B23" s="13" t="s">
        <v>47</v>
      </c>
      <c r="C23" s="14" t="s">
        <v>56</v>
      </c>
      <c r="D23" s="13" t="s">
        <v>30</v>
      </c>
      <c r="E23" s="13">
        <v>10</v>
      </c>
      <c r="F23" s="13" t="s">
        <v>23</v>
      </c>
      <c r="G23" s="13" t="s">
        <v>31</v>
      </c>
      <c r="H23" s="48" t="s">
        <v>64</v>
      </c>
      <c r="I23" s="36">
        <v>9</v>
      </c>
      <c r="J23" s="13">
        <v>1</v>
      </c>
      <c r="K23" s="17" t="str">
        <f>IF(AND(J23&gt;0,J23&lt;=5),Arkusz2!$C$4,IF(AND(Arkusz1!J23&gt;=6,Arkusz1!J23&lt;=7),Arkusz2!$C$5,Arkusz2!$C$6))</f>
        <v>niskie ryzyko dysleksji</v>
      </c>
      <c r="L23" s="13">
        <v>1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8"/>
    </row>
    <row r="24" spans="1:18">
      <c r="A24" s="47">
        <v>18</v>
      </c>
      <c r="B24" s="13" t="s">
        <v>50</v>
      </c>
      <c r="C24" s="14" t="s">
        <v>56</v>
      </c>
      <c r="D24" s="13" t="s">
        <v>30</v>
      </c>
      <c r="E24" s="13">
        <v>10</v>
      </c>
      <c r="F24" s="13" t="s">
        <v>23</v>
      </c>
      <c r="G24" s="13" t="s">
        <v>31</v>
      </c>
      <c r="H24" s="49" t="s">
        <v>48</v>
      </c>
      <c r="I24" s="36">
        <v>6</v>
      </c>
      <c r="J24" s="13">
        <v>4</v>
      </c>
      <c r="K24" s="17" t="str">
        <f>IF(AND(J24&gt;0,J24&lt;=5),Arkusz2!$C$4,IF(AND(Arkusz1!J24&gt;=6,Arkusz1!J24&lt;=7),Arkusz2!$C$5,Arkusz2!$C$6))</f>
        <v>niskie ryzyko dysleksji</v>
      </c>
      <c r="L24" s="13">
        <v>2</v>
      </c>
      <c r="M24" s="13">
        <v>0</v>
      </c>
      <c r="N24" s="13">
        <v>0</v>
      </c>
      <c r="O24" s="13">
        <v>0</v>
      </c>
      <c r="P24" s="13">
        <v>1</v>
      </c>
      <c r="Q24" s="13">
        <v>1</v>
      </c>
      <c r="R24" s="18"/>
    </row>
    <row r="25" spans="1:18">
      <c r="A25" s="47">
        <v>19</v>
      </c>
      <c r="B25" s="13" t="s">
        <v>52</v>
      </c>
      <c r="C25" s="14" t="s">
        <v>56</v>
      </c>
      <c r="D25" s="13" t="s">
        <v>22</v>
      </c>
      <c r="E25" s="13">
        <v>10</v>
      </c>
      <c r="F25" s="13" t="s">
        <v>23</v>
      </c>
      <c r="G25" s="13" t="s">
        <v>31</v>
      </c>
      <c r="H25" s="50" t="s">
        <v>42</v>
      </c>
      <c r="I25" s="36">
        <v>4</v>
      </c>
      <c r="J25" s="13">
        <v>6</v>
      </c>
      <c r="K25" s="17" t="str">
        <f>IF(AND(J25&gt;0,J25&lt;=5),Arkusz2!$C$4,IF(AND(Arkusz1!J25&gt;=6,Arkusz1!J25&lt;=7),Arkusz2!$C$5,Arkusz2!$C$6))</f>
        <v>przecietny poziom zaburzenia</v>
      </c>
      <c r="L25" s="13">
        <v>0</v>
      </c>
      <c r="M25" s="13">
        <v>4</v>
      </c>
      <c r="N25" s="13">
        <v>0</v>
      </c>
      <c r="O25" s="13">
        <v>0</v>
      </c>
      <c r="P25" s="13">
        <v>2</v>
      </c>
      <c r="Q25" s="13">
        <v>0</v>
      </c>
      <c r="R25" s="57" t="s">
        <v>43</v>
      </c>
    </row>
    <row r="26" spans="1:18">
      <c r="A26" s="47">
        <v>20</v>
      </c>
      <c r="B26" s="13" t="s">
        <v>54</v>
      </c>
      <c r="C26" s="14" t="s">
        <v>56</v>
      </c>
      <c r="D26" s="13" t="s">
        <v>22</v>
      </c>
      <c r="E26" s="13">
        <v>10</v>
      </c>
      <c r="F26" s="13" t="s">
        <v>23</v>
      </c>
      <c r="G26" s="13" t="s">
        <v>31</v>
      </c>
      <c r="H26" s="59" t="s">
        <v>51</v>
      </c>
      <c r="I26" s="36">
        <v>2</v>
      </c>
      <c r="J26" s="13">
        <v>8</v>
      </c>
      <c r="K26" s="17" t="str">
        <f>IF(AND(J26&gt;0,J26&lt;=5),Arkusz2!$C$4,IF(AND(Arkusz1!J26&gt;=6,Arkusz1!J26&lt;=7),Arkusz2!$C$5,Arkusz2!$C$6))</f>
        <v>wysoki poziom zaburzenia</v>
      </c>
      <c r="L26" s="13">
        <v>2</v>
      </c>
      <c r="M26" s="13">
        <v>2</v>
      </c>
      <c r="N26" s="13">
        <v>2</v>
      </c>
      <c r="O26" s="13">
        <v>0</v>
      </c>
      <c r="P26" s="13">
        <v>2</v>
      </c>
      <c r="Q26" s="13">
        <v>0</v>
      </c>
      <c r="R26" s="61" t="s">
        <v>43</v>
      </c>
    </row>
    <row r="27" spans="1:18">
      <c r="A27" s="47">
        <v>21</v>
      </c>
      <c r="B27" s="13" t="s">
        <v>65</v>
      </c>
      <c r="C27" s="14" t="s">
        <v>56</v>
      </c>
      <c r="D27" s="13" t="s">
        <v>22</v>
      </c>
      <c r="E27" s="13">
        <v>10</v>
      </c>
      <c r="F27" s="13" t="s">
        <v>45</v>
      </c>
      <c r="G27" s="13" t="s">
        <v>31</v>
      </c>
      <c r="H27" s="48" t="s">
        <v>66</v>
      </c>
      <c r="I27" s="36">
        <v>5</v>
      </c>
      <c r="J27" s="13">
        <v>5</v>
      </c>
      <c r="K27" s="17" t="str">
        <f>IF(AND(J27&gt;0,J27&lt;=5),Arkusz2!$C$4,IF(AND(Arkusz1!J27&gt;=6,Arkusz1!J27&lt;=7),Arkusz2!$C$5,Arkusz2!$C$6))</f>
        <v>niskie ryzyko dysleksji</v>
      </c>
      <c r="L27" s="13">
        <v>2</v>
      </c>
      <c r="M27" s="13">
        <v>3</v>
      </c>
      <c r="N27" s="13">
        <v>0</v>
      </c>
      <c r="O27" s="13">
        <v>0</v>
      </c>
      <c r="P27" s="13">
        <v>0</v>
      </c>
      <c r="Q27" s="13">
        <v>0</v>
      </c>
      <c r="R27" s="18"/>
    </row>
    <row r="28" spans="1:18" ht="15" thickBot="1">
      <c r="A28" s="51">
        <v>22</v>
      </c>
      <c r="B28" s="52" t="s">
        <v>67</v>
      </c>
      <c r="C28" s="53" t="s">
        <v>56</v>
      </c>
      <c r="D28" s="52" t="s">
        <v>30</v>
      </c>
      <c r="E28" s="52">
        <v>10</v>
      </c>
      <c r="F28" s="52" t="s">
        <v>23</v>
      </c>
      <c r="G28" s="52" t="s">
        <v>31</v>
      </c>
      <c r="H28" s="54" t="s">
        <v>68</v>
      </c>
      <c r="I28" s="37">
        <v>3</v>
      </c>
      <c r="J28" s="16">
        <v>7</v>
      </c>
      <c r="K28" s="22" t="str">
        <f>IF(AND(J28&gt;0,J28&lt;=5),Arkusz2!$C$4,IF(AND(Arkusz1!J28&gt;=6,Arkusz1!J28&lt;=7),Arkusz2!$C$5,Arkusz2!$C$6))</f>
        <v>przecietny poziom zaburzenia</v>
      </c>
      <c r="L28" s="16">
        <v>2</v>
      </c>
      <c r="M28" s="16">
        <v>2</v>
      </c>
      <c r="N28" s="16">
        <v>1</v>
      </c>
      <c r="O28" s="16">
        <v>0</v>
      </c>
      <c r="P28" s="16">
        <v>2</v>
      </c>
      <c r="Q28" s="16">
        <v>0</v>
      </c>
      <c r="R28" s="18"/>
    </row>
    <row r="29" spans="1:18">
      <c r="C29" s="40" t="s">
        <v>69</v>
      </c>
      <c r="D29" s="41">
        <f>COUNTIF(D7:D28,"K")</f>
        <v>10</v>
      </c>
      <c r="H29" s="42" t="s">
        <v>70</v>
      </c>
      <c r="I29" s="21">
        <f>SUM(I7:I28)</f>
        <v>110</v>
      </c>
      <c r="J29" s="21">
        <f>SUM(J7:J28)</f>
        <v>110</v>
      </c>
      <c r="K29" s="2"/>
      <c r="L29" s="21">
        <f>SUM(L7:L28)</f>
        <v>18</v>
      </c>
      <c r="M29" s="21">
        <f t="shared" ref="M29:Q29" si="2">SUM(M7:M28)</f>
        <v>29</v>
      </c>
      <c r="N29" s="21">
        <f t="shared" si="2"/>
        <v>18</v>
      </c>
      <c r="O29" s="21">
        <f t="shared" si="2"/>
        <v>11</v>
      </c>
      <c r="P29" s="21">
        <f t="shared" si="2"/>
        <v>22</v>
      </c>
      <c r="Q29" s="21">
        <f t="shared" si="2"/>
        <v>9</v>
      </c>
      <c r="R29" s="5"/>
    </row>
    <row r="30" spans="1:18">
      <c r="C30" s="14" t="s">
        <v>71</v>
      </c>
      <c r="D30" s="13">
        <f>COUNTIF(D7:D28,"M")</f>
        <v>12</v>
      </c>
      <c r="H30" s="15" t="s">
        <v>72</v>
      </c>
      <c r="I30" s="20">
        <f>SUM(I7:I16)</f>
        <v>43</v>
      </c>
      <c r="J30" s="20">
        <f>SUM(J7:J16)</f>
        <v>57</v>
      </c>
      <c r="K30" s="2"/>
      <c r="L30" s="13">
        <f>SUM(L7:L16)</f>
        <v>6</v>
      </c>
      <c r="M30" s="13">
        <f t="shared" ref="M30:Q30" si="3">SUM(M7:M16)</f>
        <v>14</v>
      </c>
      <c r="N30" s="13">
        <f t="shared" si="3"/>
        <v>10</v>
      </c>
      <c r="O30" s="13">
        <f t="shared" si="3"/>
        <v>9</v>
      </c>
      <c r="P30" s="13">
        <f t="shared" si="3"/>
        <v>13</v>
      </c>
      <c r="Q30" s="13">
        <f t="shared" si="3"/>
        <v>6</v>
      </c>
    </row>
    <row r="31" spans="1:18">
      <c r="H31" s="27" t="s">
        <v>73</v>
      </c>
      <c r="I31" s="21">
        <f>SUM(I17:I28)</f>
        <v>67</v>
      </c>
      <c r="J31" s="29">
        <f>SUM(J17:J28)</f>
        <v>53</v>
      </c>
      <c r="K31" s="2"/>
      <c r="L31" s="13">
        <f>SUM(L17:L28)</f>
        <v>12</v>
      </c>
      <c r="M31" s="13">
        <f t="shared" ref="M31:Q31" si="4">SUM(M17:M28)</f>
        <v>15</v>
      </c>
      <c r="N31" s="13">
        <f t="shared" si="4"/>
        <v>8</v>
      </c>
      <c r="O31" s="13">
        <f t="shared" si="4"/>
        <v>2</v>
      </c>
      <c r="P31" s="13">
        <f t="shared" si="4"/>
        <v>9</v>
      </c>
      <c r="Q31" s="13">
        <f t="shared" si="4"/>
        <v>3</v>
      </c>
    </row>
    <row r="32" spans="1:18" ht="28.9">
      <c r="H32" s="2"/>
      <c r="I32" s="2"/>
      <c r="J32" s="30"/>
      <c r="K32" s="31" t="s">
        <v>74</v>
      </c>
      <c r="L32" s="26">
        <f>L30/$J$30</f>
        <v>0.10526315789473684</v>
      </c>
      <c r="M32" s="26">
        <f t="shared" ref="M32:Q32" si="5">M30/$J$30</f>
        <v>0.24561403508771928</v>
      </c>
      <c r="N32" s="26">
        <f t="shared" si="5"/>
        <v>0.17543859649122806</v>
      </c>
      <c r="O32" s="26">
        <f t="shared" si="5"/>
        <v>0.15789473684210525</v>
      </c>
      <c r="P32" s="26">
        <f t="shared" si="5"/>
        <v>0.22807017543859648</v>
      </c>
      <c r="Q32" s="26">
        <f t="shared" si="5"/>
        <v>0.10526315789473684</v>
      </c>
    </row>
    <row r="33" spans="11:17" ht="28.9">
      <c r="K33" s="31" t="s">
        <v>75</v>
      </c>
      <c r="L33" s="26">
        <f>L31/$J$31</f>
        <v>0.22641509433962265</v>
      </c>
      <c r="M33" s="26">
        <f t="shared" ref="M33:Q33" si="6">M31/$J$31</f>
        <v>0.28301886792452829</v>
      </c>
      <c r="N33" s="26">
        <f t="shared" si="6"/>
        <v>0.15094339622641509</v>
      </c>
      <c r="O33" s="26">
        <f t="shared" si="6"/>
        <v>3.7735849056603772E-2</v>
      </c>
      <c r="P33" s="26">
        <f t="shared" si="6"/>
        <v>0.16981132075471697</v>
      </c>
      <c r="Q33" s="26">
        <f t="shared" si="6"/>
        <v>5.6603773584905662E-2</v>
      </c>
    </row>
    <row r="34" spans="11:17" ht="43.15">
      <c r="K34" s="28" t="s">
        <v>76</v>
      </c>
      <c r="L34" s="26">
        <f>L29/$J$29</f>
        <v>0.16363636363636364</v>
      </c>
      <c r="M34" s="26">
        <f t="shared" ref="M34:Q34" si="7">M29/$J$29</f>
        <v>0.26363636363636361</v>
      </c>
      <c r="N34" s="26">
        <f t="shared" si="7"/>
        <v>0.16363636363636364</v>
      </c>
      <c r="O34" s="26">
        <f t="shared" si="7"/>
        <v>0.1</v>
      </c>
      <c r="P34" s="26">
        <f t="shared" si="7"/>
        <v>0.2</v>
      </c>
      <c r="Q34" s="26">
        <f t="shared" si="7"/>
        <v>8.1818181818181818E-2</v>
      </c>
    </row>
  </sheetData>
  <mergeCells count="2">
    <mergeCell ref="I5:J5"/>
    <mergeCell ref="L5:Q5"/>
  </mergeCells>
  <phoneticPr fontId="3" type="noConversion"/>
  <conditionalFormatting sqref="J7:J28">
    <cfRule type="cellIs" dxfId="5" priority="4" operator="greaterThan">
      <formula>7</formula>
    </cfRule>
    <cfRule type="cellIs" dxfId="4" priority="5" operator="between">
      <formula>6</formula>
      <formula>7</formula>
    </cfRule>
    <cfRule type="cellIs" dxfId="3" priority="6" operator="between">
      <formula>1</formula>
      <formula>5</formula>
    </cfRule>
  </conditionalFormatting>
  <dataValidations count="2">
    <dataValidation type="list" allowBlank="1" showInputMessage="1" showErrorMessage="1" sqref="D17:D28" xr:uid="{859B49C1-A42F-4C8B-BB70-2BBE4B694570}">
      <formula1>" -,K,M"</formula1>
    </dataValidation>
    <dataValidation type="list" allowBlank="1" showInputMessage="1" showErrorMessage="1" sqref="F17:F28" xr:uid="{7DCBB5BC-1C33-47F9-986F-D55EB97228F2}">
      <formula1>" -,lewo ręczny, prawo ręczny"</formula1>
    </dataValidation>
  </dataValidations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3AFDC3C-E0C9-4527-945F-E9CC2C387AE7}">
            <xm:f>Arkusz2!$C$6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equal" id="{8F77C071-0209-4591-A98E-548C888B8DE7}">
            <xm:f>Arkusz2!$C$5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3" operator="equal" id="{0B09A99E-3651-4775-B2AE-EB0B7552D6A1}">
            <xm:f>Arkusz2!$C$4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K7:K28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FF2B-A9B2-4190-A774-3924A6A314F5}">
  <dimension ref="B3:C6"/>
  <sheetViews>
    <sheetView workbookViewId="0">
      <selection activeCell="C3" sqref="C3:C6"/>
    </sheetView>
  </sheetViews>
  <sheetFormatPr defaultRowHeight="14.45"/>
  <cols>
    <col min="3" max="3" width="27.85546875" bestFit="1" customWidth="1"/>
  </cols>
  <sheetData>
    <row r="3" spans="2:3">
      <c r="B3" s="7" t="s">
        <v>77</v>
      </c>
      <c r="C3" s="7" t="s">
        <v>12</v>
      </c>
    </row>
    <row r="4" spans="2:3">
      <c r="B4" s="8" t="s">
        <v>78</v>
      </c>
      <c r="C4" s="9" t="s">
        <v>27</v>
      </c>
    </row>
    <row r="5" spans="2:3">
      <c r="B5" s="10" t="s">
        <v>79</v>
      </c>
      <c r="C5" s="11" t="s">
        <v>33</v>
      </c>
    </row>
    <row r="6" spans="2:3">
      <c r="B6" s="12" t="s">
        <v>80</v>
      </c>
      <c r="C6" s="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 Żesławska</dc:creator>
  <cp:keywords/>
  <dc:description/>
  <cp:lastModifiedBy>Filip Kaczmarczyk</cp:lastModifiedBy>
  <cp:revision/>
  <dcterms:created xsi:type="dcterms:W3CDTF">2022-12-08T15:17:08Z</dcterms:created>
  <dcterms:modified xsi:type="dcterms:W3CDTF">2026-03-26T09:15:39Z</dcterms:modified>
  <cp:category/>
  <cp:contentStatus/>
</cp:coreProperties>
</file>